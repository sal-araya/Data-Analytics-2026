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d36dfee00773f4/"/>
    </mc:Choice>
  </mc:AlternateContent>
  <xr:revisionPtr revIDLastSave="0" documentId="8_{6EB6760A-D076-420B-AA20-CEF2AE597858}" xr6:coauthVersionLast="47" xr6:coauthVersionMax="47" xr10:uidLastSave="{00000000-0000-0000-0000-000000000000}"/>
  <bookViews>
    <workbookView xWindow="-110" yWindow="-110" windowWidth="19420" windowHeight="11500" firstSheet="2" activeTab="2" xr2:uid="{F0269A72-A7E5-474D-9E2B-6457AE8B2A51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term'!$A$1:$H$54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2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<sst xmlns="http://schemas.openxmlformats.org/spreadsheetml/2006/main" count="154" uniqueCount="68">
  <si>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</si>
  <si>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</si>
  <si>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</si>
  <si>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</si>
  <si>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</si>
  <si>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</si>
  <si>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</si>
  <si>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</si>
  <si>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</si>
  <si>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</si>
  <si>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</si>
  <si>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</si>
  <si>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</si>
  <si>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</si>
  <si>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</si>
  <si>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</si>
  <si>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</si>
  <si>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</si>
  <si>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</si>
  <si>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</si>
  <si>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</si>
  <si>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</si>
  <si>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</si>
  <si>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</si>
  <si>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</si>
  <si>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</si>
  <si>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</si>
  <si>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</si>
  <si>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</si>
  <si>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</si>
  <si>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</si>
  <si>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</si>
  <si>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</si>
  <si>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</si>
  <si>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</si>
  <si>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</si>
  <si>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</si>
  <si>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</si>
  <si>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</si>
  <si>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</si>
  <si>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</si>
  <si>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</si>
  <si>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</si>
  <si>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</si>
  <si>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</si>
  <si>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</si>
  <si>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</si>
  <si>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</si>
  <si>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</si>
  <si>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</si>
  <si>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</si>
  <si>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</si>
  <si>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Breakup</t>
  </si>
  <si>
    <t>Hamburger</t>
  </si>
  <si>
    <t>Milkshake</t>
  </si>
  <si>
    <t># of region</t>
  </si>
  <si>
    <t>RegionID</t>
  </si>
  <si>
    <t>Data range</t>
  </si>
  <si>
    <t>2/1/24 - 2/28/25</t>
  </si>
  <si>
    <t>North Central</t>
  </si>
  <si>
    <t>State</t>
  </si>
  <si>
    <t>Sales Region</t>
  </si>
  <si>
    <t>NorthWest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</si>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</sst>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0.7</c:v>
                </c:pt>
                <c:pt idx="5">
                  <c:v>0.69</c:v>
                </c:pt>
                <c:pt idx="6">
                  <c:v>0.7</c:v>
                </c:pt>
                <c:pt idx="7">
                  <c:v>0.76</c:v>
                </c:pt>
                <c:pt idx="8">
                  <c:v>0.66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9-4050-AB5B-995A046D2A01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F9-4050-AB5B-995A046D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723472"/>
        <c:axId val="1104724912"/>
      </c:barChart>
      <c:catAx>
        <c:axId val="110472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24912"/>
        <c:crosses val="autoZero"/>
        <c:auto val="1"/>
        <c:lblAlgn val="ctr"/>
        <c:lblOffset val="100"/>
        <c:noMultiLvlLbl val="0"/>
      </c:catAx>
      <c:valAx>
        <c:axId val="11047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2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4</xdr:row>
      <xdr:rowOff>120650</xdr:rowOff>
    </xdr:from>
    <xdr:to>
      <xdr:col>12</xdr:col>
      <xdr:colOff>577850</xdr:colOff>
      <xdr:row>19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55B80B-96FA-B78E-2FEE-CF847EC3D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em araya" refreshedDate="46122.649452199075" createdVersion="8" refreshedVersion="8" minRefreshableVersion="3" recordCount="10" xr:uid="{0EA532E8-20BB-4096-9418-122C7C110E4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6"/>
    <n v="0.19"/>
  </r>
  <r>
    <x v="1"/>
    <x v="0"/>
    <n v="0.7"/>
    <n v="0.17"/>
  </r>
  <r>
    <x v="2"/>
    <x v="0"/>
    <n v="0.69"/>
    <n v="0.18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7"/>
    <n v="0.18"/>
  </r>
  <r>
    <x v="7"/>
    <x v="1"/>
    <n v="0.68"/>
    <n v="0.19"/>
  </r>
  <r>
    <x v="8"/>
    <x v="1"/>
    <n v="0.67"/>
    <n v="0.19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35AB0-7B41-4AF0-A912-80787A1618A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DA63-D109-4AB1-B986-86499F92FFDC}">
  <dimension ref="A1:K52"/>
  <sheetViews>
    <sheetView workbookViewId="0">
      <pane ySplit="1" topLeftCell="A2" activePane="bottomLeft" state="frozen"/>
      <selection pane="bottomLeft" activeCell="G51" sqref="G51"/>
    </sheetView>
  </sheetViews>
  <sheetFormatPr defaultRowHeight="14.5" x14ac:dyDescent="0.35"/>
  <cols>
    <col min="1" max="1" width="8.6328125" customWidth="1"/>
    <col min="2" max="2" width="19.453125" customWidth="1"/>
    <col min="3" max="3" width="15.81640625" customWidth="1"/>
    <col min="4" max="4" width="12.1796875" customWidth="1"/>
    <col min="5" max="5" width="10.453125" customWidth="1"/>
    <col min="7" max="7" width="9.08984375" customWidth="1"/>
    <col min="8" max="8" width="6.1796875" customWidth="1"/>
    <col min="10" max="10" width="9.6328125" customWidth="1"/>
    <col min="11" max="11" width="13.90625" customWidth="1"/>
  </cols>
  <sheetData>
    <row r="1" spans="1:11" x14ac:dyDescent="0.35">
      <c r="A1" t="s">
        <v>56</v>
      </c>
      <c r="B1" t="s">
        <v>0</v>
      </c>
      <c r="C1" t="s">
        <v>53</v>
      </c>
      <c r="D1" t="s">
        <v>54</v>
      </c>
      <c r="E1" t="s">
        <v>52</v>
      </c>
      <c r="J1" s="3" t="s">
        <v>57</v>
      </c>
      <c r="K1" s="3" t="s">
        <v>58</v>
      </c>
    </row>
    <row r="2" spans="1:11" x14ac:dyDescent="0.35">
      <c r="A2">
        <v>1</v>
      </c>
      <c r="B2" t="s">
        <v>2</v>
      </c>
      <c r="C2" s="1">
        <v>0.65</v>
      </c>
      <c r="D2" s="1">
        <v>0.23</v>
      </c>
      <c r="E2" s="1">
        <v>0.12</v>
      </c>
      <c r="G2" s="2" t="s">
        <v>55</v>
      </c>
      <c r="H2" s="2">
        <f>COUNTA(B2:B52)</f>
        <v>51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5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5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35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H54" xr:uid="{282CDA63-D109-4AB1-B986-86499F92FF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B0B3-EA73-4273-82B0-842ABA88884A}">
  <dimension ref="A1:AZ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35">
      <c r="A2" t="s">
        <v>53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35">
      <c r="A3" t="s">
        <v>54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35">
      <c r="A4" t="s">
        <v>52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  <row r="5" spans="1:52" x14ac:dyDescent="0.35">
      <c r="B5" s="1"/>
      <c r="C5" s="1"/>
      <c r="D5" s="1"/>
    </row>
    <row r="6" spans="1:52" x14ac:dyDescent="0.35">
      <c r="B6" s="1"/>
      <c r="C6" s="1"/>
      <c r="D6" s="1"/>
    </row>
    <row r="7" spans="1:52" x14ac:dyDescent="0.35">
      <c r="B7" s="1"/>
      <c r="C7" s="1"/>
      <c r="D7" s="1"/>
    </row>
    <row r="8" spans="1:52" x14ac:dyDescent="0.35">
      <c r="B8" s="1"/>
      <c r="C8" s="1"/>
      <c r="D8" s="1"/>
    </row>
    <row r="9" spans="1:52" x14ac:dyDescent="0.35">
      <c r="B9" s="1"/>
      <c r="C9" s="1"/>
      <c r="D9" s="1"/>
    </row>
    <row r="10" spans="1:52" x14ac:dyDescent="0.35">
      <c r="B10" s="1"/>
      <c r="C10" s="1"/>
      <c r="D10" s="1"/>
    </row>
    <row r="11" spans="1:52" x14ac:dyDescent="0.35">
      <c r="B11" s="1"/>
      <c r="C11" s="1"/>
      <c r="D11" s="1"/>
    </row>
    <row r="12" spans="1:52" x14ac:dyDescent="0.35">
      <c r="B12" s="1"/>
      <c r="C12" s="1"/>
      <c r="D12" s="1"/>
    </row>
    <row r="13" spans="1:52" x14ac:dyDescent="0.35">
      <c r="B13" s="1"/>
      <c r="C13" s="1"/>
      <c r="D13" s="1"/>
    </row>
    <row r="14" spans="1:52" x14ac:dyDescent="0.35">
      <c r="B14" s="1"/>
      <c r="C14" s="1"/>
      <c r="D14" s="1"/>
    </row>
    <row r="15" spans="1:52" x14ac:dyDescent="0.35">
      <c r="B15" s="1"/>
      <c r="C15" s="1"/>
      <c r="D15" s="1"/>
    </row>
    <row r="16" spans="1:52" x14ac:dyDescent="0.35">
      <c r="B16" s="1"/>
      <c r="C16" s="1"/>
      <c r="D16" s="1"/>
    </row>
    <row r="17" spans="2:4" x14ac:dyDescent="0.35">
      <c r="B17" s="1"/>
      <c r="C17" s="1"/>
      <c r="D17" s="1"/>
    </row>
    <row r="18" spans="2:4" x14ac:dyDescent="0.35">
      <c r="B18" s="1"/>
      <c r="C18" s="1"/>
      <c r="D18" s="1"/>
    </row>
    <row r="19" spans="2:4" x14ac:dyDescent="0.35">
      <c r="B19" s="1"/>
      <c r="C19" s="1"/>
      <c r="D19" s="1"/>
    </row>
    <row r="20" spans="2:4" x14ac:dyDescent="0.35">
      <c r="B20" s="1"/>
      <c r="C20" s="1"/>
      <c r="D20" s="1"/>
    </row>
    <row r="21" spans="2:4" x14ac:dyDescent="0.35">
      <c r="B21" s="1"/>
      <c r="C21" s="1"/>
      <c r="D21" s="1"/>
    </row>
    <row r="22" spans="2:4" x14ac:dyDescent="0.35">
      <c r="B22" s="1"/>
      <c r="C22" s="1"/>
      <c r="D22" s="1"/>
    </row>
    <row r="23" spans="2:4" x14ac:dyDescent="0.35">
      <c r="B23" s="1"/>
      <c r="C23" s="1"/>
      <c r="D23" s="1"/>
    </row>
    <row r="24" spans="2:4" x14ac:dyDescent="0.35">
      <c r="B24" s="1"/>
      <c r="C24" s="1"/>
      <c r="D24" s="1"/>
    </row>
    <row r="25" spans="2:4" x14ac:dyDescent="0.35">
      <c r="B25" s="1"/>
      <c r="C25" s="1"/>
      <c r="D25" s="1"/>
    </row>
    <row r="26" spans="2:4" x14ac:dyDescent="0.35">
      <c r="B26" s="1"/>
      <c r="C26" s="1"/>
      <c r="D26" s="1"/>
    </row>
    <row r="27" spans="2:4" x14ac:dyDescent="0.35">
      <c r="B27" s="1"/>
      <c r="C27" s="1"/>
      <c r="D27" s="1"/>
    </row>
    <row r="28" spans="2:4" x14ac:dyDescent="0.35">
      <c r="B28" s="1"/>
      <c r="C28" s="1"/>
      <c r="D28" s="1"/>
    </row>
    <row r="29" spans="2:4" x14ac:dyDescent="0.35">
      <c r="B29" s="1"/>
      <c r="C29" s="1"/>
      <c r="D29" s="1"/>
    </row>
    <row r="30" spans="2:4" x14ac:dyDescent="0.35">
      <c r="B30" s="1"/>
      <c r="C30" s="1"/>
      <c r="D30" s="1"/>
    </row>
    <row r="31" spans="2:4" x14ac:dyDescent="0.35">
      <c r="B31" s="1"/>
      <c r="C31" s="1"/>
      <c r="D31" s="1"/>
    </row>
    <row r="32" spans="2:4" x14ac:dyDescent="0.35">
      <c r="B32" s="1"/>
      <c r="C32" s="1"/>
      <c r="D32" s="1"/>
    </row>
    <row r="33" spans="2:4" x14ac:dyDescent="0.35">
      <c r="B33" s="1"/>
      <c r="C33" s="1"/>
      <c r="D33" s="1"/>
    </row>
    <row r="34" spans="2:4" x14ac:dyDescent="0.35">
      <c r="B34" s="1"/>
      <c r="C34" s="1"/>
      <c r="D34" s="1"/>
    </row>
    <row r="35" spans="2:4" x14ac:dyDescent="0.35">
      <c r="B35" s="1"/>
      <c r="C35" s="1"/>
      <c r="D35" s="1"/>
    </row>
    <row r="36" spans="2:4" x14ac:dyDescent="0.35">
      <c r="B36" s="1"/>
      <c r="C36" s="1"/>
      <c r="D36" s="1"/>
    </row>
    <row r="37" spans="2:4" x14ac:dyDescent="0.35">
      <c r="B37" s="1"/>
      <c r="C37" s="1"/>
      <c r="D37" s="1"/>
    </row>
    <row r="38" spans="2:4" x14ac:dyDescent="0.35">
      <c r="B38" s="1"/>
      <c r="C38" s="1"/>
      <c r="D38" s="1"/>
    </row>
    <row r="39" spans="2:4" x14ac:dyDescent="0.35">
      <c r="B39" s="1"/>
      <c r="C39" s="1"/>
      <c r="D39" s="1"/>
    </row>
    <row r="40" spans="2:4" x14ac:dyDescent="0.35">
      <c r="B40" s="1"/>
      <c r="C40" s="1"/>
      <c r="D40" s="1"/>
    </row>
    <row r="41" spans="2:4" x14ac:dyDescent="0.35">
      <c r="B41" s="1"/>
      <c r="C41" s="1"/>
      <c r="D41" s="1"/>
    </row>
    <row r="42" spans="2:4" x14ac:dyDescent="0.35">
      <c r="B42" s="1"/>
      <c r="C42" s="1"/>
      <c r="D42" s="1"/>
    </row>
    <row r="43" spans="2:4" x14ac:dyDescent="0.35">
      <c r="B43" s="1"/>
      <c r="C43" s="1"/>
      <c r="D43" s="1"/>
    </row>
    <row r="44" spans="2:4" x14ac:dyDescent="0.35">
      <c r="B44" s="1"/>
      <c r="C44" s="1"/>
      <c r="D44" s="1"/>
    </row>
    <row r="45" spans="2:4" x14ac:dyDescent="0.35">
      <c r="B45" s="1"/>
      <c r="C45" s="1"/>
      <c r="D45" s="1"/>
    </row>
    <row r="46" spans="2:4" x14ac:dyDescent="0.35">
      <c r="B46" s="1"/>
      <c r="C46" s="1"/>
      <c r="D46" s="1"/>
    </row>
    <row r="47" spans="2:4" x14ac:dyDescent="0.35">
      <c r="B47" s="1"/>
      <c r="C47" s="1"/>
      <c r="D47" s="1"/>
    </row>
    <row r="48" spans="2:4" x14ac:dyDescent="0.35">
      <c r="B48" s="1"/>
      <c r="C48" s="1"/>
      <c r="D48" s="1"/>
    </row>
    <row r="49" spans="2:4" x14ac:dyDescent="0.35">
      <c r="B49" s="1"/>
      <c r="C49" s="1"/>
      <c r="D49" s="1"/>
    </row>
    <row r="50" spans="2:4" x14ac:dyDescent="0.35">
      <c r="B50" s="1"/>
      <c r="C50" s="1"/>
      <c r="D50" s="1"/>
    </row>
    <row r="51" spans="2:4" x14ac:dyDescent="0.35">
      <c r="B51" s="1"/>
      <c r="C51" s="1"/>
      <c r="D51" s="1"/>
    </row>
    <row r="52" spans="2:4" x14ac:dyDescent="0.35">
      <c r="B52" s="1"/>
      <c r="C52" s="1"/>
      <c r="D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35D5-6CF0-4079-B696-054D6664985A}">
  <dimension ref="A1:D26"/>
  <sheetViews>
    <sheetView tabSelected="1" workbookViewId="0">
      <selection activeCell="O7" sqref="O7"/>
    </sheetView>
  </sheetViews>
  <sheetFormatPr defaultRowHeight="14.5" x14ac:dyDescent="0.35"/>
  <cols>
    <col min="1" max="1" width="12.453125" customWidth="1"/>
    <col min="2" max="2" width="16.36328125" bestFit="1" customWidth="1"/>
    <col min="3" max="3" width="15.6328125" bestFit="1" customWidth="1"/>
    <col min="4" max="4" width="9.90625" customWidth="1"/>
  </cols>
  <sheetData>
    <row r="1" spans="1:4" x14ac:dyDescent="0.35">
      <c r="A1" t="s">
        <v>60</v>
      </c>
      <c r="B1" t="s">
        <v>61</v>
      </c>
      <c r="C1" t="s">
        <v>53</v>
      </c>
      <c r="D1" t="s">
        <v>54</v>
      </c>
    </row>
    <row r="2" spans="1:4" x14ac:dyDescent="0.35">
      <c r="A2" t="s">
        <v>41</v>
      </c>
      <c r="B2" t="s">
        <v>62</v>
      </c>
      <c r="C2" s="4">
        <f>VLOOKUP('Sales region lookup'!A2, 'By search term'!B:C, 2, FALSE)</f>
        <v>0.66</v>
      </c>
      <c r="D2" s="4">
        <f>_xlfn.XLOOKUP(A2, 'By search term'!B1:B52, 'By search term'!D1:D52, "not found")</f>
        <v>0.19</v>
      </c>
    </row>
    <row r="3" spans="1:4" x14ac:dyDescent="0.35">
      <c r="A3" t="s">
        <v>38</v>
      </c>
      <c r="B3" t="s">
        <v>62</v>
      </c>
      <c r="C3" s="4">
        <f>VLOOKUP('Sales region lookup'!A3, 'By search term'!B:C, 2, FALSE)</f>
        <v>0.7</v>
      </c>
      <c r="D3" s="4">
        <f>_xlfn.XLOOKUP(A3, 'By search term'!B2:B53, 'By search term'!D2:D53, "not found")</f>
        <v>0.17</v>
      </c>
    </row>
    <row r="4" spans="1:4" x14ac:dyDescent="0.35">
      <c r="A4" t="s">
        <v>25</v>
      </c>
      <c r="B4" t="s">
        <v>62</v>
      </c>
      <c r="C4" s="4">
        <f>VLOOKUP('Sales region lookup'!A4, 'By search term'!B:C, 2, FALSE)</f>
        <v>0.69</v>
      </c>
      <c r="D4" s="4">
        <f>_xlfn.XLOOKUP(A4, 'By search term'!B3:B54, 'By search term'!D3:D54, "not found")</f>
        <v>0.18</v>
      </c>
    </row>
    <row r="5" spans="1:4" x14ac:dyDescent="0.35">
      <c r="A5" t="s">
        <v>50</v>
      </c>
      <c r="B5" t="s">
        <v>62</v>
      </c>
      <c r="C5" s="4">
        <f>VLOOKUP('Sales region lookup'!A5, 'By search term'!B:C, 2, FALSE)</f>
        <v>0.74</v>
      </c>
      <c r="D5" s="4">
        <f>_xlfn.XLOOKUP(A5, 'By search term'!B4:B55, 'By search term'!D4:D55, "not found")</f>
        <v>0.14000000000000001</v>
      </c>
    </row>
    <row r="6" spans="1:4" x14ac:dyDescent="0.35">
      <c r="A6" t="s">
        <v>33</v>
      </c>
      <c r="B6" t="s">
        <v>59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35">
      <c r="A7" t="s">
        <v>44</v>
      </c>
      <c r="B7" t="s">
        <v>59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35">
      <c r="A8" t="s">
        <v>39</v>
      </c>
      <c r="B8" t="s">
        <v>59</v>
      </c>
      <c r="C8" s="4">
        <f>VLOOKUP('Sales region lookup'!A8, 'By search term'!B:C, 2, FALSE)</f>
        <v>0.7</v>
      </c>
      <c r="D8" s="4">
        <f>_xlfn.XLOOKUP(A8, 'By search term'!B7:B58, 'By search term'!D7:D58, "not found")</f>
        <v>0.18</v>
      </c>
    </row>
    <row r="9" spans="1:4" x14ac:dyDescent="0.35">
      <c r="A9" t="s">
        <v>34</v>
      </c>
      <c r="B9" t="s">
        <v>59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0.19</v>
      </c>
    </row>
    <row r="10" spans="1:4" x14ac:dyDescent="0.35">
      <c r="A10" t="s">
        <v>32</v>
      </c>
      <c r="B10" t="s">
        <v>59</v>
      </c>
      <c r="C10" s="4">
        <f>VLOOKUP('Sales region lookup'!A10, 'By search term'!B:C, 2, FALSE)</f>
        <v>0.67</v>
      </c>
      <c r="D10" s="4">
        <f>_xlfn.XLOOKUP(A10, 'By search term'!B9:B60, 'By search term'!D9:D60, "not found")</f>
        <v>0.19</v>
      </c>
    </row>
    <row r="11" spans="1:4" x14ac:dyDescent="0.35">
      <c r="A11" t="s">
        <v>29</v>
      </c>
      <c r="B11" t="s">
        <v>59</v>
      </c>
      <c r="C11" s="4">
        <f>VLOOKUP('Sales region lookup'!A11, 'By search term'!B:C, 2, FALSE)</f>
        <v>0.67</v>
      </c>
      <c r="D11" s="4">
        <f>_xlfn.XLOOKUP(A11, 'By search term'!B10:B61, 'By search term'!D10:D61, "not found")</f>
        <v>0.2</v>
      </c>
    </row>
    <row r="13" spans="1:4" x14ac:dyDescent="0.35">
      <c r="A13" s="5" t="s">
        <v>61</v>
      </c>
      <c r="B13" t="s">
        <v>67</v>
      </c>
    </row>
    <row r="15" spans="1:4" x14ac:dyDescent="0.35">
      <c r="A15" s="5" t="s">
        <v>63</v>
      </c>
      <c r="B15" t="s">
        <v>65</v>
      </c>
      <c r="C15" t="s">
        <v>66</v>
      </c>
    </row>
    <row r="16" spans="1:4" x14ac:dyDescent="0.35">
      <c r="A16" s="6" t="s">
        <v>25</v>
      </c>
      <c r="B16" s="1">
        <v>0.69</v>
      </c>
      <c r="C16" s="1">
        <v>0.18</v>
      </c>
    </row>
    <row r="17" spans="1:3" x14ac:dyDescent="0.35">
      <c r="A17" s="6" t="s">
        <v>29</v>
      </c>
      <c r="B17" s="1">
        <v>0.67</v>
      </c>
      <c r="C17" s="1">
        <v>0.2</v>
      </c>
    </row>
    <row r="18" spans="1:3" x14ac:dyDescent="0.35">
      <c r="A18" s="6" t="s">
        <v>34</v>
      </c>
      <c r="B18" s="1">
        <v>0.68</v>
      </c>
      <c r="C18" s="1">
        <v>0.19</v>
      </c>
    </row>
    <row r="19" spans="1:3" x14ac:dyDescent="0.35">
      <c r="A19" s="6" t="s">
        <v>50</v>
      </c>
      <c r="B19" s="1">
        <v>0.74</v>
      </c>
      <c r="C19" s="1">
        <v>0.14000000000000001</v>
      </c>
    </row>
    <row r="20" spans="1:3" x14ac:dyDescent="0.35">
      <c r="A20" s="6" t="s">
        <v>39</v>
      </c>
      <c r="B20" s="1">
        <v>0.7</v>
      </c>
      <c r="C20" s="1">
        <v>0.18</v>
      </c>
    </row>
    <row r="21" spans="1:3" x14ac:dyDescent="0.35">
      <c r="A21" s="6" t="s">
        <v>33</v>
      </c>
      <c r="B21" s="1">
        <v>0.69</v>
      </c>
      <c r="C21" s="1">
        <v>0.19</v>
      </c>
    </row>
    <row r="22" spans="1:3" x14ac:dyDescent="0.35">
      <c r="A22" s="6" t="s">
        <v>38</v>
      </c>
      <c r="B22" s="1">
        <v>0.7</v>
      </c>
      <c r="C22" s="1">
        <v>0.17</v>
      </c>
    </row>
    <row r="23" spans="1:3" x14ac:dyDescent="0.35">
      <c r="A23" s="6" t="s">
        <v>44</v>
      </c>
      <c r="B23" s="1">
        <v>0.76</v>
      </c>
      <c r="C23" s="1">
        <v>0.14000000000000001</v>
      </c>
    </row>
    <row r="24" spans="1:3" x14ac:dyDescent="0.35">
      <c r="A24" s="6" t="s">
        <v>41</v>
      </c>
      <c r="B24" s="1">
        <v>0.66</v>
      </c>
      <c r="C24" s="1">
        <v>0.19</v>
      </c>
    </row>
    <row r="25" spans="1:3" x14ac:dyDescent="0.35">
      <c r="A25" s="6" t="s">
        <v>32</v>
      </c>
      <c r="B25" s="1">
        <v>0.67</v>
      </c>
      <c r="C25" s="1">
        <v>0.19</v>
      </c>
    </row>
    <row r="26" spans="1:3" x14ac:dyDescent="0.35">
      <c r="A26" s="6" t="s">
        <v>64</v>
      </c>
      <c r="B26" s="1">
        <v>6.96</v>
      </c>
      <c r="C26" s="1">
        <v>1.77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saliem araya</cp:lastModifiedBy>
  <dcterms:created xsi:type="dcterms:W3CDTF">2026-04-09T20:12:35Z</dcterms:created>
  <dcterms:modified xsi:type="dcterms:W3CDTF">2026-04-10T19:37:35Z</dcterms:modified>
</cp:coreProperties>
</file>