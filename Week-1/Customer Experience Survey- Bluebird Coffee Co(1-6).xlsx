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lem\Downloads\"/>
    </mc:Choice>
  </mc:AlternateContent>
  <xr:revisionPtr revIDLastSave="0" documentId="13_ncr:1_{8DAE6A42-59A9-4259-A0EB-1F2D481DD0F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Pie Chart" sheetId="3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D9" i="1"/>
  <c r="K8" i="1"/>
  <c r="D8" i="1"/>
  <c r="D7" i="1"/>
  <c r="D2" i="1"/>
  <c r="D3" i="1"/>
  <c r="D4" i="1"/>
  <c r="D5" i="1"/>
  <c r="D6" i="1"/>
</calcChain>
</file>

<file path=xl/sharedStrings.xml><?xml version="1.0" encoding="utf-8"?>
<sst xmlns="http://schemas.openxmlformats.org/spreadsheetml/2006/main" count="54" uniqueCount="44">
  <si>
    <t>ID</t>
  </si>
  <si>
    <t>Start time</t>
  </si>
  <si>
    <t>Completion time</t>
  </si>
  <si>
    <t>Email</t>
  </si>
  <si>
    <t>Name</t>
  </si>
  <si>
    <t>Last modified time</t>
  </si>
  <si>
    <t>How often do you visit us?</t>
  </si>
  <si>
    <t>How would rate your overall experience?</t>
  </si>
  <si>
    <t>What did your order today?</t>
  </si>
  <si>
    <t>How satisfied are you with our service?</t>
  </si>
  <si>
    <t>What can we improve?</t>
  </si>
  <si>
    <t>tzergaw@my.yearupunited.org</t>
  </si>
  <si>
    <t>tihitina zergaw</t>
  </si>
  <si>
    <t>Weekly</t>
  </si>
  <si>
    <t xml:space="preserve">Hot chocolate </t>
  </si>
  <si>
    <t>Somewhat satisfied</t>
  </si>
  <si>
    <t xml:space="preserve">Better customer service </t>
  </si>
  <si>
    <t>locelotllopez@my.yearupunited.org</t>
  </si>
  <si>
    <t>luis ocelotllopez</t>
  </si>
  <si>
    <t>Daily</t>
  </si>
  <si>
    <t>nothign</t>
  </si>
  <si>
    <t>smell</t>
  </si>
  <si>
    <t>dberhane@my.yearupunited.org</t>
  </si>
  <si>
    <t>danait berhane</t>
  </si>
  <si>
    <t>Monthly</t>
  </si>
  <si>
    <t>Latte</t>
  </si>
  <si>
    <t>Very satisfied</t>
  </si>
  <si>
    <t>Fast services and more drink option</t>
  </si>
  <si>
    <t>BHambleton@YearUp.org</t>
  </si>
  <si>
    <t>Bess Hambleton</t>
  </si>
  <si>
    <t>decaf mocha with half chocolate and no whipped cream</t>
  </si>
  <si>
    <t>more cushy seats</t>
  </si>
  <si>
    <t>smelgara@my.yearupunited.org</t>
  </si>
  <si>
    <t>smaya melgara</t>
  </si>
  <si>
    <t>Iced Caramel Latte</t>
  </si>
  <si>
    <t>n/a</t>
  </si>
  <si>
    <t>cpalacios@my.yearupunited.org</t>
  </si>
  <si>
    <t>charles palacios</t>
  </si>
  <si>
    <t>Caramel Granita</t>
  </si>
  <si>
    <t xml:space="preserve">Nothing! Everything was perfect! </t>
  </si>
  <si>
    <t>Time to complete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</si>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</sst>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4" formatCode="m/d/yy\ h:mm:ss"/>
    </dxf>
    <dxf>
      <numFmt numFmtId="166" formatCode="mm/dd/yyyy\ hh:mm:ss"/>
    </dxf>
    <dxf>
      <numFmt numFmtId="0" formatCode="General"/>
    </dxf>
    <dxf>
      <numFmt numFmtId="28" formatCode="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6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Experience Survey- Bluebird Coffee Co(1-6).xlsx]Pie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Visit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Chart'!$A$2:$A$5</c:f>
              <c:strCache>
                <c:ptCount val="3"/>
                <c:pt idx="0">
                  <c:v>Daily</c:v>
                </c:pt>
                <c:pt idx="1">
                  <c:v>Monthly</c:v>
                </c:pt>
                <c:pt idx="2">
                  <c:v>Weekly</c:v>
                </c:pt>
              </c:strCache>
            </c:strRef>
          </c:cat>
          <c:val>
            <c:numRef>
              <c:f>'Pie Chart'!$B$2:$B$5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6-49DF-B768-407A02D40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31836-C425-DDE0-0DD9-4052DF3E6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em araya" refreshedDate="46123.397293287038" createdVersion="8" refreshedVersion="8" minRefreshableVersion="3" recordCount="6" xr:uid="{8C407449-0D09-405D-9CB9-2BE8714D91D7}">
  <cacheSource type="worksheet">
    <worksheetSource name="Table1"/>
  </cacheSource>
  <cacheFields count="12">
    <cacheField name="ID" numFmtId="0">
      <sharedItems containsSemiMixedTypes="0" containsString="0" containsNumber="1" containsInteger="1" minValue="1" maxValue="6"/>
    </cacheField>
    <cacheField name="Start time" numFmtId="166">
      <sharedItems containsSemiMixedTypes="0" containsNonDate="0" containsDate="1" containsString="0" minDate="2026-04-09T16:08:29" maxDate="2026-04-10T12:01:05"/>
    </cacheField>
    <cacheField name="Completion time" numFmtId="164">
      <sharedItems containsSemiMixedTypes="0" containsNonDate="0" containsDate="1" containsString="0" minDate="2026-04-09T16:09:36" maxDate="2026-04-10T12:01:55"/>
    </cacheField>
    <cacheField name="Time to complete" numFmtId="45">
      <sharedItems containsSemiMixedTypes="0" containsNonDate="0" containsDate="1" containsString="0" minDate="1899-12-30T00:00:21" maxDate="1899-12-30T00:02:50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How often do you visit us?" numFmtId="0">
      <sharedItems count="3">
        <s v="Weekly"/>
        <s v="Daily"/>
        <s v="Monthly"/>
      </sharedItems>
    </cacheField>
    <cacheField name="How would rate your overall experience?" numFmtId="0">
      <sharedItems containsSemiMixedTypes="0" containsString="0" containsNumber="1" containsInteger="1" minValue="3" maxValue="5"/>
    </cacheField>
    <cacheField name="What did your order today?" numFmtId="0">
      <sharedItems/>
    </cacheField>
    <cacheField name="How satisfied are you with our service?" numFmtId="0">
      <sharedItems/>
    </cacheField>
    <cacheField name="What can we improv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04-09T16:08:29"/>
    <d v="2026-04-09T16:09:36"/>
    <d v="1899-12-30T00:01:07"/>
    <s v="tzergaw@my.yearupunited.org"/>
    <s v="tihitina zergaw"/>
    <m/>
    <x v="0"/>
    <n v="4"/>
    <s v="Hot chocolate "/>
    <s v="Somewhat satisfied"/>
    <s v="Better customer service "/>
  </r>
  <r>
    <n v="2"/>
    <d v="2026-04-09T19:20:08"/>
    <d v="2026-04-09T19:20:29"/>
    <d v="1899-12-30T00:00:21"/>
    <s v="locelotllopez@my.yearupunited.org"/>
    <s v="luis ocelotllopez"/>
    <m/>
    <x v="1"/>
    <n v="3"/>
    <s v="nothign"/>
    <s v="Somewhat satisfied"/>
    <s v="smell"/>
  </r>
  <r>
    <n v="3"/>
    <d v="2026-04-09T23:44:26"/>
    <d v="2026-04-09T23:47:16"/>
    <d v="1899-12-30T00:02:50"/>
    <s v="dberhane@my.yearupunited.org"/>
    <s v="danait berhane"/>
    <m/>
    <x v="2"/>
    <n v="4"/>
    <s v="Latte"/>
    <s v="Very satisfied"/>
    <s v="Fast services and more drink option"/>
  </r>
  <r>
    <n v="4"/>
    <d v="2026-04-10T08:46:16"/>
    <d v="2026-04-10T08:47:11"/>
    <d v="1899-12-30T00:00:55"/>
    <s v="BHambleton@YearUp.org"/>
    <s v="Bess Hambleton"/>
    <m/>
    <x v="0"/>
    <n v="5"/>
    <s v="decaf mocha with half chocolate and no whipped cream"/>
    <s v="Very satisfied"/>
    <s v="more cushy seats"/>
  </r>
  <r>
    <n v="5"/>
    <d v="2026-04-10T11:05:07"/>
    <d v="2026-04-10T11:06:33"/>
    <d v="1899-12-30T00:01:26"/>
    <s v="smelgara@my.yearupunited.org"/>
    <s v="smaya melgara"/>
    <m/>
    <x v="0"/>
    <n v="5"/>
    <s v="Iced Caramel Latte"/>
    <s v="Very satisfied"/>
    <s v="n/a"/>
  </r>
  <r>
    <n v="6"/>
    <d v="2026-04-10T12:01:05"/>
    <d v="2026-04-10T12:01:55"/>
    <d v="1899-12-30T00:00:50"/>
    <s v="cpalacios@my.yearupunited.org"/>
    <s v="charles palacios"/>
    <m/>
    <x v="0"/>
    <n v="5"/>
    <s v="Caramel Granita"/>
    <s v="Very satisfied"/>
    <s v="Nothing! Everything was perfect!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27D18-8C27-4E05-A6E2-EA26E06CDFA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12">
    <pivotField showAll="0"/>
    <pivotField numFmtId="166" showAll="0"/>
    <pivotField numFmtId="164" showAll="0"/>
    <pivotField numFmtId="45"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" totalsRowCount="1">
  <autoFilter ref="A1:L7" xr:uid="{00000000-0009-0000-0100-000001000000}"/>
  <tableColumns count="12">
    <tableColumn id="1" xr3:uid="{00000000-0010-0000-0000-000001000000}" name="ID" dataDxfId="23" totalsRowDxfId="11"/>
    <tableColumn id="2" xr3:uid="{00000000-0010-0000-0000-000002000000}" name="Start time" dataDxfId="22" totalsRowDxfId="10"/>
    <tableColumn id="3" xr3:uid="{00000000-0010-0000-0000-000003000000}" name="Completion time" dataDxfId="21" totalsRowDxfId="9"/>
    <tableColumn id="12" xr3:uid="{AB852DDA-5859-412E-8DF2-F76C556E4030}" name="Time to complete" totalsRowFunction="average" dataDxfId="12" totalsRowDxfId="8">
      <calculatedColumnFormula>C2-B2</calculatedColumnFormula>
    </tableColumn>
    <tableColumn id="4" xr3:uid="{00000000-0010-0000-0000-000004000000}" name="Email" dataDxfId="20" totalsRowDxfId="7"/>
    <tableColumn id="5" xr3:uid="{00000000-0010-0000-0000-000005000000}" name="Name" dataDxfId="19" totalsRowDxfId="6"/>
    <tableColumn id="6" xr3:uid="{00000000-0010-0000-0000-000006000000}" name="Last modified time" dataDxfId="18" totalsRowDxfId="5"/>
    <tableColumn id="7" xr3:uid="{00000000-0010-0000-0000-000007000000}" name="How often do you visit us?" totalsRowFunction="custom" dataDxfId="17" totalsRowDxfId="4">
      <totalsRowFormula>COUNTIF(H2:H7,"Weekly")</totalsRowFormula>
    </tableColumn>
    <tableColumn id="8" xr3:uid="{00000000-0010-0000-0000-000008000000}" name="How would rate your overall experience?" dataDxfId="16" totalsRowDxfId="3"/>
    <tableColumn id="9" xr3:uid="{00000000-0010-0000-0000-000009000000}" name="What did your order today?" dataDxfId="15" totalsRowDxfId="2"/>
    <tableColumn id="10" xr3:uid="{00000000-0010-0000-0000-00000A000000}" name="How satisfied are you with our service?" totalsRowFunction="custom" dataDxfId="14" totalsRowDxfId="1">
      <totalsRowFormula>AVERAGE(_xlfn.SWITCH("Extremely dissatisfied", 0, "Dissatisfied", 1,
"Neutral", 2, "Satisfied", 3, "Extremely satisfied", "4"))</totalsRowFormula>
    </tableColumn>
    <tableColumn id="11" xr3:uid="{00000000-0010-0000-0000-00000B000000}" name="What can we improve?" dataDxfId="1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B7" sqref="B7"/>
    </sheetView>
  </sheetViews>
  <sheetFormatPr defaultRowHeight="14.5" x14ac:dyDescent="0.35"/>
  <cols>
    <col min="1" max="1" width="20" bestFit="1" customWidth="1"/>
    <col min="2" max="2" width="20" style="3" bestFit="1" customWidth="1"/>
    <col min="3" max="3" width="20" bestFit="1" customWidth="1"/>
    <col min="4" max="4" width="20" style="4" customWidth="1"/>
    <col min="5" max="12" width="20" bestFit="1" customWidth="1"/>
  </cols>
  <sheetData>
    <row r="1" spans="1:12" x14ac:dyDescent="0.35">
      <c r="A1" t="s">
        <v>0</v>
      </c>
      <c r="B1" s="3" t="s">
        <v>1</v>
      </c>
      <c r="C1" t="s">
        <v>2</v>
      </c>
      <c r="D1" s="4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 s="3">
        <v>46121.672557870399</v>
      </c>
      <c r="C2" s="1">
        <v>46121.673333333303</v>
      </c>
      <c r="D2" s="4">
        <f t="shared" ref="D2:D7" si="0">C2-B2</f>
        <v>7.7546290413010865E-4</v>
      </c>
      <c r="E2" t="s">
        <v>11</v>
      </c>
      <c r="F2" t="s">
        <v>12</v>
      </c>
      <c r="G2" s="1"/>
      <c r="H2" t="s">
        <v>13</v>
      </c>
      <c r="I2">
        <v>4</v>
      </c>
      <c r="J2" t="s">
        <v>14</v>
      </c>
      <c r="K2" t="s">
        <v>15</v>
      </c>
      <c r="L2" t="s">
        <v>16</v>
      </c>
    </row>
    <row r="3" spans="1:12" x14ac:dyDescent="0.35">
      <c r="A3">
        <v>2</v>
      </c>
      <c r="B3" s="3">
        <v>46121.805648148104</v>
      </c>
      <c r="C3" s="1">
        <v>46121.805891203701</v>
      </c>
      <c r="D3" s="4">
        <f t="shared" si="0"/>
        <v>2.430555978207849E-4</v>
      </c>
      <c r="E3" t="s">
        <v>17</v>
      </c>
      <c r="F3" t="s">
        <v>18</v>
      </c>
      <c r="G3" s="1"/>
      <c r="H3" t="s">
        <v>19</v>
      </c>
      <c r="I3">
        <v>3</v>
      </c>
      <c r="J3" t="s">
        <v>20</v>
      </c>
      <c r="K3" t="s">
        <v>15</v>
      </c>
      <c r="L3" t="s">
        <v>21</v>
      </c>
    </row>
    <row r="4" spans="1:12" x14ac:dyDescent="0.35">
      <c r="A4">
        <v>3</v>
      </c>
      <c r="B4" s="3">
        <v>46121.989189814798</v>
      </c>
      <c r="C4" s="1">
        <v>46121.991157407399</v>
      </c>
      <c r="D4" s="4">
        <f t="shared" si="0"/>
        <v>1.9675926014315337E-3</v>
      </c>
      <c r="E4" t="s">
        <v>22</v>
      </c>
      <c r="F4" t="s">
        <v>23</v>
      </c>
      <c r="G4" s="1"/>
      <c r="H4" t="s">
        <v>24</v>
      </c>
      <c r="I4">
        <v>4</v>
      </c>
      <c r="J4" t="s">
        <v>25</v>
      </c>
      <c r="K4" t="s">
        <v>26</v>
      </c>
      <c r="L4" t="s">
        <v>27</v>
      </c>
    </row>
    <row r="5" spans="1:12" x14ac:dyDescent="0.35">
      <c r="A5">
        <v>4</v>
      </c>
      <c r="B5" s="3">
        <v>46122.365462962996</v>
      </c>
      <c r="C5" s="1">
        <v>46122.366099537001</v>
      </c>
      <c r="D5" s="4">
        <f t="shared" si="0"/>
        <v>6.3657400460215285E-4</v>
      </c>
      <c r="E5" t="s">
        <v>28</v>
      </c>
      <c r="F5" t="s">
        <v>29</v>
      </c>
      <c r="G5" s="1"/>
      <c r="H5" t="s">
        <v>13</v>
      </c>
      <c r="I5">
        <v>5</v>
      </c>
      <c r="J5" t="s">
        <v>30</v>
      </c>
      <c r="K5" t="s">
        <v>26</v>
      </c>
      <c r="L5" t="s">
        <v>31</v>
      </c>
    </row>
    <row r="6" spans="1:12" x14ac:dyDescent="0.35">
      <c r="A6">
        <v>5</v>
      </c>
      <c r="B6" s="3">
        <v>46122.461886574099</v>
      </c>
      <c r="C6" s="1">
        <v>46122.462881944397</v>
      </c>
      <c r="D6" s="4">
        <f t="shared" si="0"/>
        <v>9.9537029745988548E-4</v>
      </c>
      <c r="E6" t="s">
        <v>32</v>
      </c>
      <c r="F6" t="s">
        <v>33</v>
      </c>
      <c r="G6" s="1"/>
      <c r="H6" t="s">
        <v>13</v>
      </c>
      <c r="I6">
        <v>5</v>
      </c>
      <c r="J6" t="s">
        <v>34</v>
      </c>
      <c r="K6" t="s">
        <v>26</v>
      </c>
      <c r="L6" t="s">
        <v>35</v>
      </c>
    </row>
    <row r="7" spans="1:12" x14ac:dyDescent="0.35">
      <c r="A7">
        <v>6</v>
      </c>
      <c r="B7" s="3">
        <v>46122.500752314802</v>
      </c>
      <c r="C7" s="1">
        <v>46122.501331018502</v>
      </c>
      <c r="D7" s="4">
        <f t="shared" si="0"/>
        <v>5.7870370073942468E-4</v>
      </c>
      <c r="E7" t="s">
        <v>36</v>
      </c>
      <c r="F7" t="s">
        <v>37</v>
      </c>
      <c r="G7" s="1"/>
      <c r="H7" t="s">
        <v>13</v>
      </c>
      <c r="I7">
        <v>5</v>
      </c>
      <c r="J7" t="s">
        <v>38</v>
      </c>
      <c r="K7" t="s">
        <v>26</v>
      </c>
      <c r="L7" t="s">
        <v>39</v>
      </c>
    </row>
    <row r="8" spans="1:12" x14ac:dyDescent="0.35">
      <c r="A8" s="2"/>
      <c r="C8" s="1"/>
      <c r="D8" s="4">
        <f>SUBTOTAL(101,Table1[Time to complete])</f>
        <v>8.6612651769731508E-4</v>
      </c>
      <c r="E8" s="2"/>
      <c r="F8" s="2"/>
      <c r="G8" s="1"/>
      <c r="H8" s="2">
        <f>COUNTIF(H2:H7,"Weekly")</f>
        <v>4</v>
      </c>
      <c r="I8" s="2"/>
      <c r="J8" s="2"/>
      <c r="K8" s="2">
        <f>AVERAGE(_xlfn.SWITCH("Extremely dissatisfied", 0, "Dissatisfied", 1,
"Neutral", 2, "Satisfied", 3, "Extremely satisfied", "4"))</f>
        <v>4</v>
      </c>
      <c r="L8" s="2"/>
    </row>
    <row r="9" spans="1:12" x14ac:dyDescent="0.35">
      <c r="D9" s="4">
        <f>AVERAGE(D2:D7)</f>
        <v>8.6612651769731508E-4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A2A9-7D25-45A4-AAB7-6FF6FD726F19}">
  <dimension ref="A1:B5"/>
  <sheetViews>
    <sheetView tabSelected="1" workbookViewId="0">
      <selection activeCell="J19" sqref="J19"/>
    </sheetView>
  </sheetViews>
  <sheetFormatPr defaultRowHeight="14.5" x14ac:dyDescent="0.35"/>
  <cols>
    <col min="1" max="1" width="12.36328125" bestFit="1" customWidth="1"/>
    <col min="2" max="2" width="13.54296875" bestFit="1" customWidth="1"/>
    <col min="3" max="3" width="13.1796875" bestFit="1" customWidth="1"/>
  </cols>
  <sheetData>
    <row r="1" spans="1:2" x14ac:dyDescent="0.35">
      <c r="A1" s="5" t="s">
        <v>41</v>
      </c>
      <c r="B1" t="s">
        <v>43</v>
      </c>
    </row>
    <row r="2" spans="1:2" x14ac:dyDescent="0.35">
      <c r="A2" s="6" t="s">
        <v>19</v>
      </c>
      <c r="B2" s="2">
        <v>1</v>
      </c>
    </row>
    <row r="3" spans="1:2" x14ac:dyDescent="0.35">
      <c r="A3" s="6" t="s">
        <v>24</v>
      </c>
      <c r="B3" s="2">
        <v>1</v>
      </c>
    </row>
    <row r="4" spans="1:2" x14ac:dyDescent="0.35">
      <c r="A4" s="6" t="s">
        <v>13</v>
      </c>
      <c r="B4" s="2">
        <v>4</v>
      </c>
    </row>
    <row r="5" spans="1:2" x14ac:dyDescent="0.35">
      <c r="A5" s="6" t="s">
        <v>42</v>
      </c>
      <c r="B5" s="2">
        <v>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saliem araya</cp:lastModifiedBy>
  <dcterms:created xsi:type="dcterms:W3CDTF">2026-04-11T00:49:16Z</dcterms:created>
  <dcterms:modified xsi:type="dcterms:W3CDTF">2026-04-11T13:47:01Z</dcterms:modified>
</cp:coreProperties>
</file>